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tudent\Documents\"/>
    </mc:Choice>
  </mc:AlternateContent>
  <xr:revisionPtr revIDLastSave="0" documentId="8_{14C4B9CC-DB14-48B6-95FF-3442298A5B5E}" xr6:coauthVersionLast="47" xr6:coauthVersionMax="47" xr10:uidLastSave="{00000000-0000-0000-0000-000000000000}"/>
  <bookViews>
    <workbookView xWindow="-110" yWindow="-110" windowWidth="19420" windowHeight="11500" activeTab="1" xr2:uid="{EF345B22-CD53-4212-8A9F-96E4A77F785E}"/>
  </bookViews>
  <sheets>
    <sheet name="Whats given " sheetId="1" r:id="rId1"/>
    <sheet name="Module 8 Peanut" sheetId="2" r:id="rId2"/>
    <sheet name="Model stipulation " sheetId="3" r:id="rId3"/>
  </sheets>
  <definedNames>
    <definedName name="solver_adj" localSheetId="2" hidden="1">'Model stipulation '!$O$3:$O$9</definedName>
    <definedName name="solver_adj" localSheetId="1" hidden="1">'Module 8 Peanut'!$O$3:$O$9</definedName>
    <definedName name="solver_cvg" localSheetId="2" hidden="1">0.0001</definedName>
    <definedName name="solver_cvg" localSheetId="1" hidden="1">0.0001</definedName>
    <definedName name="solver_drv" localSheetId="2" hidden="1">2</definedName>
    <definedName name="solver_drv" localSheetId="1" hidden="1">1</definedName>
    <definedName name="solver_eng" localSheetId="2" hidden="1">2</definedName>
    <definedName name="solver_eng" localSheetId="1" hidden="1">2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'Model stipulation '!$B$11:$M$11</definedName>
    <definedName name="solver_lhs1" localSheetId="1" hidden="1">'Module 8 Peanut'!$B$11:$M$11</definedName>
    <definedName name="solver_lhs2" localSheetId="2" hidden="1">'Model stipulation '!$O$3:$O$9</definedName>
    <definedName name="solver_lhs2" localSheetId="1" hidden="1">'Module 8 Peanut'!$O$3:$O$9</definedName>
    <definedName name="solver_lhs3" localSheetId="2" hidden="1">'Model stipulation '!$O$3:$O$9</definedName>
    <definedName name="solver_lhs3" localSheetId="1" hidden="1">'Module 8 Peanut'!$O$3:$O$9</definedName>
    <definedName name="solver_lhs4" localSheetId="2" hidden="1">'Model stipulation '!$O$9</definedName>
    <definedName name="solver_lhs4" localSheetId="1" hidden="1">'Module 8 Peanut'!$O$9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4</definedName>
    <definedName name="solver_num" localSheetId="1" hidden="1">3</definedName>
    <definedName name="solver_nwt" localSheetId="2" hidden="1">1</definedName>
    <definedName name="solver_nwt" localSheetId="1" hidden="1">1</definedName>
    <definedName name="solver_opt" localSheetId="2" hidden="1">'Model stipulation '!$P$12</definedName>
    <definedName name="solver_opt" localSheetId="1" hidden="1">'Module 8 Peanut'!$P$12</definedName>
    <definedName name="solver_pre" localSheetId="2" hidden="1">0.000001</definedName>
    <definedName name="solver_pre" localSheetId="1" hidden="1">0.000001</definedName>
    <definedName name="solver_rbv" localSheetId="2" hidden="1">2</definedName>
    <definedName name="solver_rbv" localSheetId="1" hidden="1">1</definedName>
    <definedName name="solver_rel1" localSheetId="2" hidden="1">3</definedName>
    <definedName name="solver_rel1" localSheetId="1" hidden="1">3</definedName>
    <definedName name="solver_rel2" localSheetId="2" hidden="1">4</definedName>
    <definedName name="solver_rel2" localSheetId="1" hidden="1">4</definedName>
    <definedName name="solver_rel3" localSheetId="2" hidden="1">3</definedName>
    <definedName name="solver_rel3" localSheetId="1" hidden="1">3</definedName>
    <definedName name="solver_rel4" localSheetId="2" hidden="1">1</definedName>
    <definedName name="solver_rel4" localSheetId="1" hidden="1">1</definedName>
    <definedName name="solver_rhs1" localSheetId="2" hidden="1">'Model stipulation '!$B$12:$M$12</definedName>
    <definedName name="solver_rhs1" localSheetId="1" hidden="1">'Module 8 Peanut'!$B$12:$M$12</definedName>
    <definedName name="solver_rhs2" localSheetId="2" hidden="1">"integer"</definedName>
    <definedName name="solver_rhs2" localSheetId="1" hidden="1">"integer"</definedName>
    <definedName name="solver_rhs3" localSheetId="2" hidden="1">0</definedName>
    <definedName name="solver_rhs3" localSheetId="1" hidden="1">0</definedName>
    <definedName name="solver_rhs4" localSheetId="2" hidden="1">404</definedName>
    <definedName name="solver_rhs4" localSheetId="1" hidden="1">404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2</definedName>
    <definedName name="solver_scl" localSheetId="1" hidden="1">1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</definedName>
    <definedName name="solver_tol" localSheetId="1" hidden="1">0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2" l="1"/>
  <c r="K14" i="3"/>
  <c r="M11" i="3"/>
  <c r="L11" i="3"/>
  <c r="K11" i="3"/>
  <c r="J11" i="3"/>
  <c r="I11" i="3"/>
  <c r="H11" i="3"/>
  <c r="G11" i="3"/>
  <c r="F11" i="3"/>
  <c r="E11" i="3"/>
  <c r="D11" i="3"/>
  <c r="C11" i="3"/>
  <c r="B11" i="3"/>
  <c r="P9" i="3"/>
  <c r="P8" i="3"/>
  <c r="P7" i="3"/>
  <c r="P6" i="3"/>
  <c r="P5" i="3"/>
  <c r="P4" i="3"/>
  <c r="P12" i="3" s="1"/>
  <c r="P7" i="2"/>
  <c r="P6" i="2"/>
  <c r="P5" i="2"/>
  <c r="P4" i="2"/>
  <c r="P8" i="2"/>
  <c r="P9" i="2"/>
  <c r="C11" i="2"/>
  <c r="D11" i="2"/>
  <c r="E11" i="2"/>
  <c r="F11" i="2"/>
  <c r="G11" i="2"/>
  <c r="H11" i="2"/>
  <c r="I11" i="2"/>
  <c r="J11" i="2"/>
  <c r="K11" i="2"/>
  <c r="L11" i="2"/>
  <c r="M11" i="2"/>
  <c r="B11" i="2"/>
  <c r="P12" i="2"/>
  <c r="E44" i="1"/>
</calcChain>
</file>

<file path=xl/sharedStrings.xml><?xml version="1.0" encoding="utf-8"?>
<sst xmlns="http://schemas.openxmlformats.org/spreadsheetml/2006/main" count="95" uniqueCount="73">
  <si>
    <t>month</t>
  </si>
  <si>
    <t>foot_traffic</t>
  </si>
  <si>
    <t>monthly_salary</t>
  </si>
  <si>
    <t>Lolly McSprinkle</t>
  </si>
  <si>
    <t>Pixie Peppermint</t>
  </si>
  <si>
    <t>Ginger Gumdrop</t>
  </si>
  <si>
    <t>Lulu Licorice</t>
  </si>
  <si>
    <t>Sprinkle Bea</t>
  </si>
  <si>
    <t>Taffy Twinkleton</t>
  </si>
  <si>
    <t>Dizzy Dandelion</t>
  </si>
  <si>
    <t>Caramel Clementine</t>
  </si>
  <si>
    <t>Gingersnap Gwen</t>
  </si>
  <si>
    <t>Tootsie McGiggly</t>
  </si>
  <si>
    <t>Sugarplum Sally</t>
  </si>
  <si>
    <t>Sunny Sassafras</t>
  </si>
  <si>
    <t>Truffle Tilda</t>
  </si>
  <si>
    <t>Bonbon Bella</t>
  </si>
  <si>
    <t>Gumdrop Grace</t>
  </si>
  <si>
    <t>Merry Marzipan</t>
  </si>
  <si>
    <t>Chuckles Choco</t>
  </si>
  <si>
    <t>Zippy Licorice</t>
  </si>
  <si>
    <t>Chuck ChocoChip</t>
  </si>
  <si>
    <t>Maple Marshmallow</t>
  </si>
  <si>
    <t>Cocoa Clement</t>
  </si>
  <si>
    <t>Cherry Chewella</t>
  </si>
  <si>
    <t>Scooter Snickerdoodle</t>
  </si>
  <si>
    <t>Gummy Gus</t>
  </si>
  <si>
    <t>Chompers McSweet</t>
  </si>
  <si>
    <t>Wiggles Wafflecone</t>
  </si>
  <si>
    <t>Whimsy Whiskers</t>
  </si>
  <si>
    <t>Poppi Lollipop</t>
  </si>
  <si>
    <t>Snickersnack Sam</t>
  </si>
  <si>
    <t>Twinkle Taffybell</t>
  </si>
  <si>
    <t>Sassy Sourstripe</t>
  </si>
  <si>
    <t>Jellybean Juniper</t>
  </si>
  <si>
    <t>Nifty Nougatine</t>
  </si>
  <si>
    <t>Fizzwick Frost</t>
  </si>
  <si>
    <t>Nougat Nelly</t>
  </si>
  <si>
    <t>Misty Mallow</t>
  </si>
  <si>
    <t>Benny Bonbon</t>
  </si>
  <si>
    <t>Candyfloss Claire</t>
  </si>
  <si>
    <t>Muffin McMint</t>
  </si>
  <si>
    <t>Nibbles Nectarine</t>
  </si>
  <si>
    <t>Twirly Tina</t>
  </si>
  <si>
    <t>Twizzle Taffeta</t>
  </si>
  <si>
    <t>agency</t>
  </si>
  <si>
    <t>beginning_month_of_service</t>
  </si>
  <si>
    <t>duration_of_service</t>
  </si>
  <si>
    <t>Snickerdoodle Street</t>
  </si>
  <si>
    <t>The Gobstopper Grove</t>
  </si>
  <si>
    <t>Chomp &amp; Circumstance</t>
  </si>
  <si>
    <t>Candyfloss &amp; Co.</t>
  </si>
  <si>
    <t>Bonbon Boulevard</t>
  </si>
  <si>
    <t>Magic Munchies</t>
  </si>
  <si>
    <t xml:space="preserve">Workers </t>
  </si>
  <si>
    <t xml:space="preserve">Schedule </t>
  </si>
  <si>
    <t xml:space="preserve">Available </t>
  </si>
  <si>
    <t xml:space="preserve">Total --&gt; </t>
  </si>
  <si>
    <t>Months</t>
  </si>
  <si>
    <t xml:space="preserve">Agency </t>
  </si>
  <si>
    <t>Foot traffic</t>
  </si>
  <si>
    <t>full time employees</t>
  </si>
  <si>
    <t xml:space="preserve">Average </t>
  </si>
  <si>
    <t>Full time</t>
  </si>
  <si>
    <t>wages</t>
  </si>
  <si>
    <t>MIN: 10,776A1 + 36,525A2 + 36,315A3 + 37,083A4 + 20,012A5 + 37,896A6 + 114,647.97A7</t>
  </si>
  <si>
    <t>0X1 + 0X2 + 0X3 + 0X4 + 0X5 + 0X6 + 1X7 + 1X8 + 0X9 + 0X10 + 0X11 + 0X12</t>
  </si>
  <si>
    <t>1X1 + 1X2 + 1X3 + 0X4 + 0X5 + 0X6 + 0X7 + 0X8 + 0X9 + 0X10 + 0X11 + 0X12</t>
  </si>
  <si>
    <t>0X1 + 0X2 + 0X3 + 0X4 + 0X5 + 0X6 + 0X7 + 0X8 + 0X9 + 1X10 + 1X11 + 1X12</t>
  </si>
  <si>
    <t>0X1 + 0X2 + 0X3 + 0X4 + 0X5 + 0X6 + 1X7 + 1X8 + 1X9 + 0X10 + 0X11 + 0X12</t>
  </si>
  <si>
    <t>0X1 + 0X2 + 0X3 + 0X4 + 0X5 + 0X6 + 0X7 + 1X8 + 1X9 + 0X10 + 0X11 + 0X12</t>
  </si>
  <si>
    <t>0X1 + 0X2 + 0X3 + 1X4 + 1X5 + 1X6 + 0X7 + 0X8 + 0X9 + 0X10 + 0X11 + 0X12</t>
  </si>
  <si>
    <t>1X1 + 1X2 + 1X3 + 1X4 +1X5 + 1X6 + 1X7 + 1X8 + 1X9 + 1X10 + 1X11 + 1X12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</si>
</sst>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6"/>
      <name val="Aptos Narrow"/>
      <family val="2"/>
      <scheme val="minor"/>
    </font>
    <font>
      <sz val="11"/>
      <color theme="7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44" fontId="3" fillId="2" borderId="1" xfId="1" applyFont="1" applyFill="1" applyBorder="1" applyAlignment="1">
      <alignment horizontal="center"/>
    </xf>
    <xf numFmtId="44" fontId="0" fillId="0" borderId="1" xfId="1" applyFont="1" applyBorder="1"/>
    <xf numFmtId="44" fontId="0" fillId="0" borderId="0" xfId="1" applyFont="1"/>
    <xf numFmtId="0" fontId="0" fillId="0" borderId="2" xfId="0" applyBorder="1"/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44" fontId="5" fillId="3" borderId="6" xfId="1" applyFont="1" applyFill="1" applyBorder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0" xfId="0" applyBorder="1"/>
    <xf numFmtId="0" fontId="0" fillId="0" borderId="13" xfId="0" applyBorder="1"/>
    <xf numFmtId="0" fontId="3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3" fillId="4" borderId="1" xfId="0" applyFont="1" applyFill="1" applyBorder="1"/>
    <xf numFmtId="44" fontId="3" fillId="4" borderId="1" xfId="1" applyFont="1" applyFill="1" applyBorder="1"/>
    <xf numFmtId="44" fontId="0" fillId="0" borderId="19" xfId="1" applyFont="1" applyBorder="1"/>
    <xf numFmtId="44" fontId="1" fillId="0" borderId="1" xfId="1" applyFont="1" applyFill="1" applyBorder="1"/>
    <xf numFmtId="0" fontId="0" fillId="0" borderId="17" xfId="0" applyFill="1" applyBorder="1"/>
    <xf numFmtId="0" fontId="2" fillId="3" borderId="11" xfId="0" applyFont="1" applyFill="1" applyBorder="1" applyAlignment="1">
      <alignment horizontal="center"/>
    </xf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Foot</a:t>
            </a:r>
            <a:r>
              <a:rPr lang="en-US" baseline="0"/>
              <a:t> T</a:t>
            </a:r>
            <a:r>
              <a:rPr lang="en-US"/>
              <a:t>raffic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'Whats given '!$B$1</c:f>
              <c:strCache>
                <c:ptCount val="1"/>
                <c:pt idx="0">
                  <c:v>foot_traffic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'Whats given '!$A$2:$A$13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'Whats given '!$B$2:$B$13</c:f>
              <c:numCache>
                <c:formatCode>General</c:formatCode>
                <c:ptCount val="12"/>
                <c:pt idx="0">
                  <c:v>267</c:v>
                </c:pt>
                <c:pt idx="1">
                  <c:v>366</c:v>
                </c:pt>
                <c:pt idx="2">
                  <c:v>505</c:v>
                </c:pt>
                <c:pt idx="3">
                  <c:v>565</c:v>
                </c:pt>
                <c:pt idx="4">
                  <c:v>495</c:v>
                </c:pt>
                <c:pt idx="5">
                  <c:v>365</c:v>
                </c:pt>
                <c:pt idx="6">
                  <c:v>304</c:v>
                </c:pt>
                <c:pt idx="7">
                  <c:v>384</c:v>
                </c:pt>
                <c:pt idx="8">
                  <c:v>545</c:v>
                </c:pt>
                <c:pt idx="9">
                  <c:v>651</c:v>
                </c:pt>
                <c:pt idx="10">
                  <c:v>608</c:v>
                </c:pt>
                <c:pt idx="11">
                  <c:v>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78-4736-8149-6E562FB4D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150127"/>
        <c:axId val="861152047"/>
      </c:scatterChart>
      <c:valAx>
        <c:axId val="86115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152047"/>
        <c:crosses val="autoZero"/>
        <c:crossBetween val="midCat"/>
      </c:valAx>
      <c:valAx>
        <c:axId val="86115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15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136525</xdr:colOff>
      <xdr:row>8</xdr:row>
      <xdr:rowOff>6350</xdr:rowOff>
    </xdr:from>
    <xdr:to>
      <xdr:col>9</xdr:col>
      <xdr:colOff>346075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4D07BC-D88F-9D06-3D3D-5E79C5615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05012-0109-4248-9BA5-D7E0210CCF02}">
  <dimension ref="A1:J44"/>
  <sheetViews>
    <sheetView topLeftCell="A23" workbookViewId="0">
      <selection activeCell="E44" sqref="E44"/>
    </sheetView>
  </sheetViews>
  <sheetFormatPr defaultRowHeight="14.5" x14ac:dyDescent="0.35"/>
  <cols>
    <col min="2" max="2" width="10" bestFit="1" customWidth="1"/>
    <col min="4" max="4" width="19.08984375" bestFit="1" customWidth="1"/>
    <col min="5" max="5" width="13.6328125" style="6" bestFit="1" customWidth="1"/>
    <col min="7" max="7" width="20.1796875" bestFit="1" customWidth="1"/>
    <col min="8" max="8" width="24.90625" bestFit="1" customWidth="1"/>
    <col min="9" max="9" width="17.36328125" bestFit="1" customWidth="1"/>
    <col min="10" max="10" width="13.6328125" style="6" bestFit="1" customWidth="1"/>
  </cols>
  <sheetData>
    <row r="1" spans="1:10" x14ac:dyDescent="0.35">
      <c r="A1" s="2" t="s">
        <v>0</v>
      </c>
      <c r="B1" s="2" t="s">
        <v>1</v>
      </c>
      <c r="C1" s="1"/>
      <c r="D1" s="2" t="s">
        <v>61</v>
      </c>
      <c r="E1" s="4" t="s">
        <v>2</v>
      </c>
      <c r="F1" s="1"/>
      <c r="G1" s="2" t="s">
        <v>45</v>
      </c>
      <c r="H1" s="2" t="s">
        <v>46</v>
      </c>
      <c r="I1" s="2" t="s">
        <v>47</v>
      </c>
      <c r="J1" s="4" t="s">
        <v>2</v>
      </c>
    </row>
    <row r="2" spans="1:10" x14ac:dyDescent="0.35">
      <c r="A2" s="3">
        <v>1</v>
      </c>
      <c r="B2" s="3">
        <v>267</v>
      </c>
      <c r="D2" s="3" t="s">
        <v>3</v>
      </c>
      <c r="E2" s="5">
        <v>9025.25</v>
      </c>
      <c r="G2" s="3" t="s">
        <v>48</v>
      </c>
      <c r="H2" s="3">
        <v>7</v>
      </c>
      <c r="I2" s="3">
        <v>2</v>
      </c>
      <c r="J2" s="5">
        <v>10776</v>
      </c>
    </row>
    <row r="3" spans="1:10" x14ac:dyDescent="0.35">
      <c r="A3" s="3">
        <v>2</v>
      </c>
      <c r="B3" s="3">
        <v>366</v>
      </c>
      <c r="D3" s="3" t="s">
        <v>4</v>
      </c>
      <c r="E3" s="5">
        <v>11707.04</v>
      </c>
      <c r="G3" s="3" t="s">
        <v>49</v>
      </c>
      <c r="H3" s="3">
        <v>1</v>
      </c>
      <c r="I3" s="3">
        <v>3</v>
      </c>
      <c r="J3" s="5">
        <v>12175</v>
      </c>
    </row>
    <row r="4" spans="1:10" x14ac:dyDescent="0.35">
      <c r="A4" s="3">
        <v>3</v>
      </c>
      <c r="B4" s="3">
        <v>505</v>
      </c>
      <c r="D4" s="3" t="s">
        <v>5</v>
      </c>
      <c r="E4" s="5">
        <v>7461.39</v>
      </c>
      <c r="G4" s="3" t="s">
        <v>50</v>
      </c>
      <c r="H4" s="3">
        <v>10</v>
      </c>
      <c r="I4" s="3">
        <v>3</v>
      </c>
      <c r="J4" s="5">
        <v>12105</v>
      </c>
    </row>
    <row r="5" spans="1:10" x14ac:dyDescent="0.35">
      <c r="A5" s="3">
        <v>4</v>
      </c>
      <c r="B5" s="3">
        <v>565</v>
      </c>
      <c r="D5" s="3" t="s">
        <v>6</v>
      </c>
      <c r="E5" s="5">
        <v>10255.86</v>
      </c>
      <c r="G5" s="3" t="s">
        <v>51</v>
      </c>
      <c r="H5" s="3">
        <v>7</v>
      </c>
      <c r="I5" s="3">
        <v>3</v>
      </c>
      <c r="J5" s="5">
        <v>12361</v>
      </c>
    </row>
    <row r="6" spans="1:10" x14ac:dyDescent="0.35">
      <c r="A6" s="3">
        <v>5</v>
      </c>
      <c r="B6" s="3">
        <v>495</v>
      </c>
      <c r="D6" s="3" t="s">
        <v>7</v>
      </c>
      <c r="E6" s="5">
        <v>10015.51</v>
      </c>
      <c r="G6" s="3" t="s">
        <v>52</v>
      </c>
      <c r="H6" s="3">
        <v>8</v>
      </c>
      <c r="I6" s="3">
        <v>2</v>
      </c>
      <c r="J6" s="5">
        <v>10006</v>
      </c>
    </row>
    <row r="7" spans="1:10" x14ac:dyDescent="0.35">
      <c r="A7" s="3">
        <v>6</v>
      </c>
      <c r="B7" s="3">
        <v>365</v>
      </c>
      <c r="D7" s="3" t="s">
        <v>8</v>
      </c>
      <c r="E7" s="5">
        <v>6307</v>
      </c>
      <c r="G7" s="3" t="s">
        <v>53</v>
      </c>
      <c r="H7" s="3">
        <v>4</v>
      </c>
      <c r="I7" s="3">
        <v>3</v>
      </c>
      <c r="J7" s="5">
        <v>12632</v>
      </c>
    </row>
    <row r="8" spans="1:10" x14ac:dyDescent="0.35">
      <c r="A8" s="3">
        <v>7</v>
      </c>
      <c r="B8" s="3">
        <v>304</v>
      </c>
      <c r="D8" s="3" t="s">
        <v>9</v>
      </c>
      <c r="E8" s="5">
        <v>11182.62</v>
      </c>
    </row>
    <row r="9" spans="1:10" x14ac:dyDescent="0.35">
      <c r="A9" s="3">
        <v>8</v>
      </c>
      <c r="B9" s="3">
        <v>384</v>
      </c>
      <c r="D9" s="3" t="s">
        <v>10</v>
      </c>
      <c r="E9" s="5">
        <v>11191.56</v>
      </c>
    </row>
    <row r="10" spans="1:10" x14ac:dyDescent="0.35">
      <c r="A10" s="3">
        <v>9</v>
      </c>
      <c r="B10" s="3">
        <v>545</v>
      </c>
      <c r="D10" s="3" t="s">
        <v>11</v>
      </c>
      <c r="E10" s="5">
        <v>10421.23</v>
      </c>
    </row>
    <row r="11" spans="1:10" x14ac:dyDescent="0.35">
      <c r="A11" s="3">
        <v>10</v>
      </c>
      <c r="B11" s="3">
        <v>651</v>
      </c>
      <c r="D11" s="3" t="s">
        <v>12</v>
      </c>
      <c r="E11" s="5">
        <v>12768.55</v>
      </c>
    </row>
    <row r="12" spans="1:10" x14ac:dyDescent="0.35">
      <c r="A12" s="3">
        <v>11</v>
      </c>
      <c r="B12" s="3">
        <v>608</v>
      </c>
      <c r="D12" s="3" t="s">
        <v>13</v>
      </c>
      <c r="E12" s="5">
        <v>9049.1200000000008</v>
      </c>
    </row>
    <row r="13" spans="1:10" x14ac:dyDescent="0.35">
      <c r="A13" s="3">
        <v>12</v>
      </c>
      <c r="B13" s="3">
        <v>461</v>
      </c>
      <c r="D13" s="3" t="s">
        <v>14</v>
      </c>
      <c r="E13" s="5">
        <v>9284.06</v>
      </c>
    </row>
    <row r="14" spans="1:10" x14ac:dyDescent="0.35">
      <c r="D14" s="3" t="s">
        <v>15</v>
      </c>
      <c r="E14" s="5">
        <v>12077.28</v>
      </c>
    </row>
    <row r="15" spans="1:10" x14ac:dyDescent="0.35">
      <c r="D15" s="3" t="s">
        <v>16</v>
      </c>
      <c r="E15" s="5">
        <v>7780.55</v>
      </c>
    </row>
    <row r="16" spans="1:10" x14ac:dyDescent="0.35">
      <c r="D16" s="3" t="s">
        <v>17</v>
      </c>
      <c r="E16" s="5">
        <v>8415.1200000000008</v>
      </c>
    </row>
    <row r="17" spans="4:5" x14ac:dyDescent="0.35">
      <c r="D17" s="3" t="s">
        <v>18</v>
      </c>
      <c r="E17" s="5">
        <v>8594.73</v>
      </c>
    </row>
    <row r="18" spans="4:5" x14ac:dyDescent="0.35">
      <c r="D18" s="3" t="s">
        <v>19</v>
      </c>
      <c r="E18" s="5">
        <v>9616.77</v>
      </c>
    </row>
    <row r="19" spans="4:5" x14ac:dyDescent="0.35">
      <c r="D19" s="3" t="s">
        <v>20</v>
      </c>
      <c r="E19" s="5">
        <v>7577.84</v>
      </c>
    </row>
    <row r="20" spans="4:5" x14ac:dyDescent="0.35">
      <c r="D20" s="3" t="s">
        <v>21</v>
      </c>
      <c r="E20" s="5">
        <v>12440.11</v>
      </c>
    </row>
    <row r="21" spans="4:5" x14ac:dyDescent="0.35">
      <c r="D21" s="3" t="s">
        <v>22</v>
      </c>
      <c r="E21" s="5">
        <v>8494.06</v>
      </c>
    </row>
    <row r="22" spans="4:5" x14ac:dyDescent="0.35">
      <c r="D22" s="3" t="s">
        <v>23</v>
      </c>
      <c r="E22" s="5">
        <v>7403.57</v>
      </c>
    </row>
    <row r="23" spans="4:5" x14ac:dyDescent="0.35">
      <c r="D23" s="3" t="s">
        <v>24</v>
      </c>
      <c r="E23" s="5">
        <v>8787.77</v>
      </c>
    </row>
    <row r="24" spans="4:5" x14ac:dyDescent="0.35">
      <c r="D24" s="3" t="s">
        <v>25</v>
      </c>
      <c r="E24" s="5">
        <v>8996.0300000000007</v>
      </c>
    </row>
    <row r="25" spans="4:5" x14ac:dyDescent="0.35">
      <c r="D25" s="3" t="s">
        <v>26</v>
      </c>
      <c r="E25" s="5">
        <v>7663.39</v>
      </c>
    </row>
    <row r="26" spans="4:5" x14ac:dyDescent="0.35">
      <c r="D26" s="3" t="s">
        <v>27</v>
      </c>
      <c r="E26" s="5">
        <v>13192.52</v>
      </c>
    </row>
    <row r="27" spans="4:5" x14ac:dyDescent="0.35">
      <c r="D27" s="3" t="s">
        <v>28</v>
      </c>
      <c r="E27" s="5">
        <v>10385.06</v>
      </c>
    </row>
    <row r="28" spans="4:5" x14ac:dyDescent="0.35">
      <c r="D28" s="3" t="s">
        <v>29</v>
      </c>
      <c r="E28" s="5">
        <v>10950.31</v>
      </c>
    </row>
    <row r="29" spans="4:5" x14ac:dyDescent="0.35">
      <c r="D29" s="3" t="s">
        <v>30</v>
      </c>
      <c r="E29" s="5">
        <v>7877.06</v>
      </c>
    </row>
    <row r="30" spans="4:5" x14ac:dyDescent="0.35">
      <c r="D30" s="3" t="s">
        <v>31</v>
      </c>
      <c r="E30" s="5">
        <v>8699.34</v>
      </c>
    </row>
    <row r="31" spans="4:5" x14ac:dyDescent="0.35">
      <c r="D31" s="3" t="s">
        <v>32</v>
      </c>
      <c r="E31" s="5">
        <v>9821.14</v>
      </c>
    </row>
    <row r="32" spans="4:5" x14ac:dyDescent="0.35">
      <c r="D32" s="3" t="s">
        <v>33</v>
      </c>
      <c r="E32" s="5">
        <v>10636.93</v>
      </c>
    </row>
    <row r="33" spans="4:5" x14ac:dyDescent="0.35">
      <c r="D33" s="3" t="s">
        <v>34</v>
      </c>
      <c r="E33" s="5">
        <v>7226.7</v>
      </c>
    </row>
    <row r="34" spans="4:5" x14ac:dyDescent="0.35">
      <c r="D34" s="3" t="s">
        <v>35</v>
      </c>
      <c r="E34" s="5">
        <v>11215.72</v>
      </c>
    </row>
    <row r="35" spans="4:5" x14ac:dyDescent="0.35">
      <c r="D35" s="3" t="s">
        <v>36</v>
      </c>
      <c r="E35" s="5">
        <v>6520.82</v>
      </c>
    </row>
    <row r="36" spans="4:5" x14ac:dyDescent="0.35">
      <c r="D36" s="3" t="s">
        <v>37</v>
      </c>
      <c r="E36" s="5">
        <v>6657</v>
      </c>
    </row>
    <row r="37" spans="4:5" x14ac:dyDescent="0.35">
      <c r="D37" s="3" t="s">
        <v>38</v>
      </c>
      <c r="E37" s="5">
        <v>6618.04</v>
      </c>
    </row>
    <row r="38" spans="4:5" x14ac:dyDescent="0.35">
      <c r="D38" s="3" t="s">
        <v>39</v>
      </c>
      <c r="E38" s="5">
        <v>10379.85</v>
      </c>
    </row>
    <row r="39" spans="4:5" x14ac:dyDescent="0.35">
      <c r="D39" s="3" t="s">
        <v>40</v>
      </c>
      <c r="E39" s="5">
        <v>9327.7099999999991</v>
      </c>
    </row>
    <row r="40" spans="4:5" x14ac:dyDescent="0.35">
      <c r="D40" s="3" t="s">
        <v>41</v>
      </c>
      <c r="E40" s="5">
        <v>12900.68</v>
      </c>
    </row>
    <row r="41" spans="4:5" x14ac:dyDescent="0.35">
      <c r="D41" s="3" t="s">
        <v>42</v>
      </c>
      <c r="E41" s="5">
        <v>10834.09</v>
      </c>
    </row>
    <row r="42" spans="4:5" x14ac:dyDescent="0.35">
      <c r="D42" s="3" t="s">
        <v>43</v>
      </c>
      <c r="E42" s="5">
        <v>9984.2900000000009</v>
      </c>
    </row>
    <row r="43" spans="4:5" x14ac:dyDescent="0.35">
      <c r="D43" s="3" t="s">
        <v>44</v>
      </c>
      <c r="E43" s="5">
        <v>11524.21</v>
      </c>
    </row>
    <row r="44" spans="4:5" x14ac:dyDescent="0.35">
      <c r="D44" s="34" t="s">
        <v>62</v>
      </c>
      <c r="E44" s="35">
        <f>AVERAGE(E2:E43)</f>
        <v>9553.9971428571425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946C-548F-44DA-B582-4BBD78053306}">
  <dimension ref="A1:P23"/>
  <sheetViews>
    <sheetView tabSelected="1" workbookViewId="0">
      <selection activeCell="M19" sqref="M19"/>
    </sheetView>
  </sheetViews>
  <sheetFormatPr defaultRowHeight="14.5" x14ac:dyDescent="0.35"/>
  <cols>
    <col min="1" max="1" width="20.1796875" bestFit="1" customWidth="1"/>
    <col min="10" max="10" width="12.1796875" bestFit="1" customWidth="1"/>
    <col min="16" max="16" width="14.81640625" bestFit="1" customWidth="1"/>
  </cols>
  <sheetData>
    <row r="1" spans="1:16" x14ac:dyDescent="0.35">
      <c r="A1" s="7"/>
      <c r="B1" s="21" t="s">
        <v>58</v>
      </c>
      <c r="C1" s="8"/>
      <c r="D1" s="8"/>
      <c r="E1" s="8"/>
      <c r="F1" s="8"/>
      <c r="G1" s="8"/>
      <c r="H1" s="8"/>
      <c r="I1" s="8"/>
      <c r="J1" s="8"/>
      <c r="K1" s="8"/>
      <c r="L1" s="8"/>
      <c r="M1" s="22"/>
      <c r="N1" s="25"/>
      <c r="O1" s="13" t="s">
        <v>54</v>
      </c>
      <c r="P1" s="17" t="s">
        <v>64</v>
      </c>
    </row>
    <row r="2" spans="1:16" ht="15" thickBot="1" x14ac:dyDescent="0.4">
      <c r="A2" s="9" t="s">
        <v>59</v>
      </c>
      <c r="B2" s="27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  <c r="J2" s="10">
        <v>9</v>
      </c>
      <c r="K2" s="10">
        <v>10</v>
      </c>
      <c r="L2" s="10">
        <v>11</v>
      </c>
      <c r="M2" s="18">
        <v>12</v>
      </c>
      <c r="N2" s="25"/>
      <c r="O2" s="14" t="s">
        <v>55</v>
      </c>
      <c r="P2" s="18"/>
    </row>
    <row r="3" spans="1:16" x14ac:dyDescent="0.35">
      <c r="A3" s="20" t="s">
        <v>48</v>
      </c>
      <c r="B3" s="24">
        <v>0</v>
      </c>
      <c r="C3" s="24">
        <v>0</v>
      </c>
      <c r="D3" s="24">
        <v>0</v>
      </c>
      <c r="E3" s="24">
        <v>0</v>
      </c>
      <c r="F3" s="24">
        <v>0</v>
      </c>
      <c r="G3" s="24">
        <v>0</v>
      </c>
      <c r="H3" s="24">
        <v>1</v>
      </c>
      <c r="I3" s="24">
        <v>1</v>
      </c>
      <c r="J3" s="24">
        <v>0</v>
      </c>
      <c r="K3" s="24">
        <v>0</v>
      </c>
      <c r="L3" s="24">
        <v>0</v>
      </c>
      <c r="M3" s="28">
        <v>0</v>
      </c>
      <c r="N3" s="24"/>
      <c r="O3" s="15">
        <v>0</v>
      </c>
      <c r="P3" s="36">
        <v>10776</v>
      </c>
    </row>
    <row r="4" spans="1:16" x14ac:dyDescent="0.35">
      <c r="A4" s="20" t="s">
        <v>49</v>
      </c>
      <c r="B4" s="24">
        <v>1</v>
      </c>
      <c r="C4" s="24">
        <v>1</v>
      </c>
      <c r="D4" s="24">
        <v>1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8">
        <v>0</v>
      </c>
      <c r="N4" s="24"/>
      <c r="O4" s="16">
        <v>0</v>
      </c>
      <c r="P4" s="36">
        <f>12175*3</f>
        <v>36525</v>
      </c>
    </row>
    <row r="5" spans="1:16" x14ac:dyDescent="0.35">
      <c r="A5" s="20" t="s">
        <v>50</v>
      </c>
      <c r="B5" s="24">
        <v>0</v>
      </c>
      <c r="C5" s="24">
        <v>0</v>
      </c>
      <c r="D5" s="24">
        <v>0</v>
      </c>
      <c r="E5" s="24">
        <v>0</v>
      </c>
      <c r="F5" s="24">
        <v>0</v>
      </c>
      <c r="G5" s="24">
        <v>0</v>
      </c>
      <c r="H5" s="24">
        <v>0</v>
      </c>
      <c r="I5" s="24">
        <v>0</v>
      </c>
      <c r="J5" s="24">
        <v>0</v>
      </c>
      <c r="K5" s="24">
        <v>1</v>
      </c>
      <c r="L5" s="24">
        <v>1</v>
      </c>
      <c r="M5" s="28">
        <v>1</v>
      </c>
      <c r="N5" s="24"/>
      <c r="O5" s="16">
        <v>146</v>
      </c>
      <c r="P5" s="36">
        <f>12105*3</f>
        <v>36315</v>
      </c>
    </row>
    <row r="6" spans="1:16" x14ac:dyDescent="0.35">
      <c r="A6" s="20" t="s">
        <v>51</v>
      </c>
      <c r="B6" s="24">
        <v>0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1</v>
      </c>
      <c r="I6" s="24">
        <v>1</v>
      </c>
      <c r="J6" s="24">
        <v>1</v>
      </c>
      <c r="K6" s="24">
        <v>0</v>
      </c>
      <c r="L6" s="24">
        <v>0</v>
      </c>
      <c r="M6" s="28">
        <v>0</v>
      </c>
      <c r="N6" s="24"/>
      <c r="O6" s="16">
        <v>0</v>
      </c>
      <c r="P6" s="36">
        <f>12361*3</f>
        <v>37083</v>
      </c>
    </row>
    <row r="7" spans="1:16" x14ac:dyDescent="0.35">
      <c r="A7" s="20" t="s">
        <v>52</v>
      </c>
      <c r="B7" s="24">
        <v>0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  <c r="H7" s="24">
        <v>0</v>
      </c>
      <c r="I7" s="24">
        <v>1</v>
      </c>
      <c r="J7" s="24">
        <v>1</v>
      </c>
      <c r="K7" s="24">
        <v>0</v>
      </c>
      <c r="L7" s="24">
        <v>0</v>
      </c>
      <c r="M7" s="28">
        <v>0</v>
      </c>
      <c r="N7" s="24"/>
      <c r="O7" s="16">
        <v>40</v>
      </c>
      <c r="P7" s="36">
        <f>10006*2</f>
        <v>20012</v>
      </c>
    </row>
    <row r="8" spans="1:16" x14ac:dyDescent="0.35">
      <c r="A8" s="20" t="s">
        <v>53</v>
      </c>
      <c r="B8" s="24">
        <v>0</v>
      </c>
      <c r="C8" s="24">
        <v>0</v>
      </c>
      <c r="D8" s="24">
        <v>0</v>
      </c>
      <c r="E8" s="24">
        <v>1</v>
      </c>
      <c r="F8" s="24">
        <v>1</v>
      </c>
      <c r="G8" s="24">
        <v>1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8">
        <v>0</v>
      </c>
      <c r="N8" s="24"/>
      <c r="O8" s="16">
        <v>60</v>
      </c>
      <c r="P8" s="36">
        <f>12632*3</f>
        <v>37896</v>
      </c>
    </row>
    <row r="9" spans="1:16" x14ac:dyDescent="0.35">
      <c r="A9" s="38" t="s">
        <v>63</v>
      </c>
      <c r="B9" s="30">
        <v>1</v>
      </c>
      <c r="C9" s="30">
        <v>1</v>
      </c>
      <c r="D9" s="30">
        <v>1</v>
      </c>
      <c r="E9" s="30">
        <v>1</v>
      </c>
      <c r="F9" s="30">
        <v>1</v>
      </c>
      <c r="G9" s="30">
        <v>1</v>
      </c>
      <c r="H9" s="30">
        <v>1</v>
      </c>
      <c r="I9" s="30">
        <v>1</v>
      </c>
      <c r="J9" s="30">
        <v>1</v>
      </c>
      <c r="K9" s="30">
        <v>1</v>
      </c>
      <c r="L9" s="30">
        <v>1</v>
      </c>
      <c r="M9" s="31">
        <v>1</v>
      </c>
      <c r="N9" s="24"/>
      <c r="O9" s="33">
        <v>505</v>
      </c>
      <c r="P9" s="37">
        <f>'Whats given '!E44 *12</f>
        <v>114647.9657142857</v>
      </c>
    </row>
    <row r="10" spans="1:16" ht="15" thickBot="1" x14ac:dyDescent="0.4">
      <c r="A10" s="19"/>
      <c r="B10" s="24"/>
      <c r="C10" s="24"/>
      <c r="D10" s="24"/>
      <c r="E10" s="24"/>
      <c r="F10" s="24"/>
      <c r="G10" s="24"/>
      <c r="H10" s="23"/>
      <c r="I10" s="23"/>
      <c r="J10" s="23"/>
      <c r="K10" s="23"/>
      <c r="L10" s="23"/>
      <c r="M10" s="23"/>
      <c r="N10" s="24"/>
      <c r="O10" s="32"/>
      <c r="P10" s="19"/>
    </row>
    <row r="11" spans="1:16" ht="15" thickBot="1" x14ac:dyDescent="0.4">
      <c r="A11" s="29" t="s">
        <v>56</v>
      </c>
      <c r="B11" s="11">
        <f>SUMPRODUCT(B3:B9,$O$3:$O$9)</f>
        <v>505</v>
      </c>
      <c r="C11" s="11">
        <f t="shared" ref="C11:M11" si="0">SUMPRODUCT(C3:C9,$O$3:$O$9)</f>
        <v>505</v>
      </c>
      <c r="D11" s="11">
        <f t="shared" si="0"/>
        <v>505</v>
      </c>
      <c r="E11" s="11">
        <f t="shared" si="0"/>
        <v>565</v>
      </c>
      <c r="F11" s="11">
        <f t="shared" si="0"/>
        <v>565</v>
      </c>
      <c r="G11" s="11">
        <f t="shared" si="0"/>
        <v>565</v>
      </c>
      <c r="H11" s="11">
        <f t="shared" si="0"/>
        <v>505</v>
      </c>
      <c r="I11" s="11">
        <f t="shared" si="0"/>
        <v>545</v>
      </c>
      <c r="J11" s="11">
        <f t="shared" si="0"/>
        <v>545</v>
      </c>
      <c r="K11" s="11">
        <f t="shared" si="0"/>
        <v>651</v>
      </c>
      <c r="L11" s="11">
        <f t="shared" si="0"/>
        <v>651</v>
      </c>
      <c r="M11" s="39">
        <f t="shared" si="0"/>
        <v>651</v>
      </c>
      <c r="N11" s="26"/>
    </row>
    <row r="12" spans="1:16" ht="15" thickBot="1" x14ac:dyDescent="0.4">
      <c r="A12" s="9" t="s">
        <v>60</v>
      </c>
      <c r="B12" s="27">
        <v>267</v>
      </c>
      <c r="C12" s="10">
        <v>366</v>
      </c>
      <c r="D12" s="10">
        <v>505</v>
      </c>
      <c r="E12" s="10">
        <v>565</v>
      </c>
      <c r="F12" s="10">
        <v>495</v>
      </c>
      <c r="G12" s="10">
        <v>365</v>
      </c>
      <c r="H12" s="10">
        <v>304</v>
      </c>
      <c r="I12" s="10">
        <v>384</v>
      </c>
      <c r="J12" s="10">
        <v>545</v>
      </c>
      <c r="K12" s="10">
        <v>651</v>
      </c>
      <c r="L12" s="10">
        <v>608</v>
      </c>
      <c r="M12" s="18">
        <v>461</v>
      </c>
      <c r="N12" s="25"/>
      <c r="O12" s="1" t="s">
        <v>57</v>
      </c>
      <c r="P12" s="12">
        <f>SUMPRODUCT(O3:O9,P3:P9)</f>
        <v>66273452.685714282</v>
      </c>
    </row>
    <row r="14" spans="1:16" x14ac:dyDescent="0.35">
      <c r="J14" s="40">
        <f>(P12/K12)/12</f>
        <v>8483.544890644429</v>
      </c>
    </row>
    <row r="15" spans="1:16" x14ac:dyDescent="0.35">
      <c r="A15" t="s">
        <v>65</v>
      </c>
    </row>
    <row r="17" spans="1:1" x14ac:dyDescent="0.35">
      <c r="A17" t="s">
        <v>66</v>
      </c>
    </row>
    <row r="18" spans="1:1" x14ac:dyDescent="0.35">
      <c r="A18" t="s">
        <v>67</v>
      </c>
    </row>
    <row r="19" spans="1:1" x14ac:dyDescent="0.35">
      <c r="A19" t="s">
        <v>68</v>
      </c>
    </row>
    <row r="20" spans="1:1" x14ac:dyDescent="0.35">
      <c r="A20" t="s">
        <v>69</v>
      </c>
    </row>
    <row r="21" spans="1:1" x14ac:dyDescent="0.35">
      <c r="A21" t="s">
        <v>70</v>
      </c>
    </row>
    <row r="22" spans="1:1" x14ac:dyDescent="0.35">
      <c r="A22" t="s">
        <v>71</v>
      </c>
    </row>
    <row r="23" spans="1:1" x14ac:dyDescent="0.35">
      <c r="A23" t="s">
        <v>72</v>
      </c>
    </row>
  </sheetData>
  <mergeCells count="1">
    <mergeCell ref="B1:M1"/>
  </mergeCells>
  <conditionalFormatting sqref="B3:N10">
    <cfRule type="colorScale" priority="7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CB712-86AB-4496-893A-8C7D8E1884ED}">
  <dimension ref="A1:P14"/>
  <sheetViews>
    <sheetView workbookViewId="0">
      <selection activeCell="B15" sqref="B15"/>
    </sheetView>
  </sheetViews>
  <sheetFormatPr defaultRowHeight="14.5" x14ac:dyDescent="0.35"/>
  <cols>
    <col min="1" max="1" width="20.1796875" bestFit="1" customWidth="1"/>
    <col min="11" max="11" width="10.1796875" bestFit="1" customWidth="1"/>
    <col min="16" max="16" width="14.81640625" bestFit="1" customWidth="1"/>
  </cols>
  <sheetData>
    <row r="1" spans="1:16" x14ac:dyDescent="0.35">
      <c r="A1" s="7"/>
      <c r="B1" s="21" t="s">
        <v>58</v>
      </c>
      <c r="C1" s="8"/>
      <c r="D1" s="8"/>
      <c r="E1" s="8"/>
      <c r="F1" s="8"/>
      <c r="G1" s="8"/>
      <c r="H1" s="8"/>
      <c r="I1" s="8"/>
      <c r="J1" s="8"/>
      <c r="K1" s="8"/>
      <c r="L1" s="8"/>
      <c r="M1" s="22"/>
      <c r="N1" s="25"/>
      <c r="O1" s="13" t="s">
        <v>54</v>
      </c>
      <c r="P1" s="17" t="s">
        <v>64</v>
      </c>
    </row>
    <row r="2" spans="1:16" ht="15" thickBot="1" x14ac:dyDescent="0.4">
      <c r="A2" s="9" t="s">
        <v>59</v>
      </c>
      <c r="B2" s="27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  <c r="J2" s="10">
        <v>9</v>
      </c>
      <c r="K2" s="10">
        <v>10</v>
      </c>
      <c r="L2" s="10">
        <v>11</v>
      </c>
      <c r="M2" s="18">
        <v>12</v>
      </c>
      <c r="N2" s="25"/>
      <c r="O2" s="14" t="s">
        <v>55</v>
      </c>
      <c r="P2" s="18"/>
    </row>
    <row r="3" spans="1:16" x14ac:dyDescent="0.35">
      <c r="A3" s="20" t="s">
        <v>48</v>
      </c>
      <c r="B3" s="24">
        <v>0</v>
      </c>
      <c r="C3" s="24">
        <v>0</v>
      </c>
      <c r="D3" s="24">
        <v>0</v>
      </c>
      <c r="E3" s="24">
        <v>0</v>
      </c>
      <c r="F3" s="24">
        <v>0</v>
      </c>
      <c r="G3" s="24">
        <v>0</v>
      </c>
      <c r="H3" s="24">
        <v>1</v>
      </c>
      <c r="I3" s="24">
        <v>1</v>
      </c>
      <c r="J3" s="24">
        <v>0</v>
      </c>
      <c r="K3" s="24">
        <v>0</v>
      </c>
      <c r="L3" s="24">
        <v>0</v>
      </c>
      <c r="M3" s="28">
        <v>0</v>
      </c>
      <c r="N3" s="24"/>
      <c r="O3" s="15">
        <v>0</v>
      </c>
      <c r="P3" s="36">
        <v>10776</v>
      </c>
    </row>
    <row r="4" spans="1:16" x14ac:dyDescent="0.35">
      <c r="A4" s="20" t="s">
        <v>49</v>
      </c>
      <c r="B4" s="24">
        <v>1</v>
      </c>
      <c r="C4" s="24">
        <v>1</v>
      </c>
      <c r="D4" s="24">
        <v>1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8">
        <v>0</v>
      </c>
      <c r="N4" s="24"/>
      <c r="O4" s="16">
        <v>101</v>
      </c>
      <c r="P4" s="36">
        <f>12175*3</f>
        <v>36525</v>
      </c>
    </row>
    <row r="5" spans="1:16" x14ac:dyDescent="0.35">
      <c r="A5" s="20" t="s">
        <v>50</v>
      </c>
      <c r="B5" s="24">
        <v>0</v>
      </c>
      <c r="C5" s="24">
        <v>0</v>
      </c>
      <c r="D5" s="24">
        <v>0</v>
      </c>
      <c r="E5" s="24">
        <v>0</v>
      </c>
      <c r="F5" s="24">
        <v>0</v>
      </c>
      <c r="G5" s="24">
        <v>0</v>
      </c>
      <c r="H5" s="24">
        <v>0</v>
      </c>
      <c r="I5" s="24">
        <v>0</v>
      </c>
      <c r="J5" s="24">
        <v>0</v>
      </c>
      <c r="K5" s="24">
        <v>1</v>
      </c>
      <c r="L5" s="24">
        <v>1</v>
      </c>
      <c r="M5" s="28">
        <v>1</v>
      </c>
      <c r="N5" s="24"/>
      <c r="O5" s="16">
        <v>247</v>
      </c>
      <c r="P5" s="36">
        <f>12105*3</f>
        <v>36315</v>
      </c>
    </row>
    <row r="6" spans="1:16" x14ac:dyDescent="0.35">
      <c r="A6" s="20" t="s">
        <v>51</v>
      </c>
      <c r="B6" s="24">
        <v>0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1</v>
      </c>
      <c r="I6" s="24">
        <v>1</v>
      </c>
      <c r="J6" s="24">
        <v>1</v>
      </c>
      <c r="K6" s="24">
        <v>0</v>
      </c>
      <c r="L6" s="24">
        <v>0</v>
      </c>
      <c r="M6" s="28">
        <v>0</v>
      </c>
      <c r="N6" s="24"/>
      <c r="O6" s="16">
        <v>0</v>
      </c>
      <c r="P6" s="36">
        <f>12361*3</f>
        <v>37083</v>
      </c>
    </row>
    <row r="7" spans="1:16" x14ac:dyDescent="0.35">
      <c r="A7" s="20" t="s">
        <v>52</v>
      </c>
      <c r="B7" s="24">
        <v>0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  <c r="H7" s="24">
        <v>0</v>
      </c>
      <c r="I7" s="24">
        <v>1</v>
      </c>
      <c r="J7" s="24">
        <v>1</v>
      </c>
      <c r="K7" s="24">
        <v>0</v>
      </c>
      <c r="L7" s="24">
        <v>0</v>
      </c>
      <c r="M7" s="28">
        <v>0</v>
      </c>
      <c r="N7" s="24"/>
      <c r="O7" s="16">
        <v>141</v>
      </c>
      <c r="P7" s="36">
        <f>10006*2</f>
        <v>20012</v>
      </c>
    </row>
    <row r="8" spans="1:16" x14ac:dyDescent="0.35">
      <c r="A8" s="20" t="s">
        <v>53</v>
      </c>
      <c r="B8" s="24">
        <v>0</v>
      </c>
      <c r="C8" s="24">
        <v>0</v>
      </c>
      <c r="D8" s="24">
        <v>0</v>
      </c>
      <c r="E8" s="24">
        <v>1</v>
      </c>
      <c r="F8" s="24">
        <v>1</v>
      </c>
      <c r="G8" s="24">
        <v>1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8">
        <v>0</v>
      </c>
      <c r="N8" s="24"/>
      <c r="O8" s="16">
        <v>161</v>
      </c>
      <c r="P8" s="36">
        <f>12632*3</f>
        <v>37896</v>
      </c>
    </row>
    <row r="9" spans="1:16" x14ac:dyDescent="0.35">
      <c r="A9" s="38" t="s">
        <v>63</v>
      </c>
      <c r="B9" s="30">
        <v>1</v>
      </c>
      <c r="C9" s="30">
        <v>1</v>
      </c>
      <c r="D9" s="30">
        <v>1</v>
      </c>
      <c r="E9" s="30">
        <v>1</v>
      </c>
      <c r="F9" s="30">
        <v>1</v>
      </c>
      <c r="G9" s="30">
        <v>1</v>
      </c>
      <c r="H9" s="30">
        <v>1</v>
      </c>
      <c r="I9" s="30">
        <v>1</v>
      </c>
      <c r="J9" s="30">
        <v>1</v>
      </c>
      <c r="K9" s="30">
        <v>1</v>
      </c>
      <c r="L9" s="30">
        <v>1</v>
      </c>
      <c r="M9" s="31">
        <v>1</v>
      </c>
      <c r="N9" s="24"/>
      <c r="O9" s="33">
        <v>404</v>
      </c>
      <c r="P9" s="37">
        <f>'Whats given '!E44 *12</f>
        <v>114647.9657142857</v>
      </c>
    </row>
    <row r="10" spans="1:16" ht="15" thickBot="1" x14ac:dyDescent="0.4">
      <c r="A10" s="19"/>
      <c r="B10" s="24"/>
      <c r="C10" s="24"/>
      <c r="D10" s="24"/>
      <c r="E10" s="24"/>
      <c r="F10" s="24"/>
      <c r="G10" s="24"/>
      <c r="H10" s="23"/>
      <c r="I10" s="23"/>
      <c r="J10" s="23"/>
      <c r="K10" s="23"/>
      <c r="L10" s="23"/>
      <c r="M10" s="23"/>
      <c r="N10" s="24"/>
      <c r="O10" s="32"/>
      <c r="P10" s="19"/>
    </row>
    <row r="11" spans="1:16" ht="15" thickBot="1" x14ac:dyDescent="0.4">
      <c r="A11" s="29" t="s">
        <v>56</v>
      </c>
      <c r="B11" s="11">
        <f>SUMPRODUCT(B3:B9,$O$3:$O$9)</f>
        <v>505</v>
      </c>
      <c r="C11" s="11">
        <f t="shared" ref="C11:M11" si="0">SUMPRODUCT(C3:C9,$O$3:$O$9)</f>
        <v>505</v>
      </c>
      <c r="D11" s="11">
        <f t="shared" si="0"/>
        <v>505</v>
      </c>
      <c r="E11" s="11">
        <f t="shared" si="0"/>
        <v>565</v>
      </c>
      <c r="F11" s="11">
        <f t="shared" si="0"/>
        <v>565</v>
      </c>
      <c r="G11" s="11">
        <f t="shared" si="0"/>
        <v>565</v>
      </c>
      <c r="H11" s="11">
        <f t="shared" si="0"/>
        <v>404</v>
      </c>
      <c r="I11" s="11">
        <f t="shared" si="0"/>
        <v>545</v>
      </c>
      <c r="J11" s="11">
        <f t="shared" si="0"/>
        <v>545</v>
      </c>
      <c r="K11" s="11">
        <f t="shared" si="0"/>
        <v>651</v>
      </c>
      <c r="L11" s="11">
        <f t="shared" si="0"/>
        <v>651</v>
      </c>
      <c r="M11" s="39">
        <f t="shared" si="0"/>
        <v>651</v>
      </c>
      <c r="N11" s="26"/>
    </row>
    <row r="12" spans="1:16" ht="15" thickBot="1" x14ac:dyDescent="0.4">
      <c r="A12" s="9" t="s">
        <v>60</v>
      </c>
      <c r="B12" s="27">
        <v>267</v>
      </c>
      <c r="C12" s="10">
        <v>366</v>
      </c>
      <c r="D12" s="10">
        <v>505</v>
      </c>
      <c r="E12" s="10">
        <v>565</v>
      </c>
      <c r="F12" s="10">
        <v>495</v>
      </c>
      <c r="G12" s="10">
        <v>365</v>
      </c>
      <c r="H12" s="10">
        <v>304</v>
      </c>
      <c r="I12" s="10">
        <v>384</v>
      </c>
      <c r="J12" s="10">
        <v>545</v>
      </c>
      <c r="K12" s="10">
        <v>651</v>
      </c>
      <c r="L12" s="10">
        <v>608</v>
      </c>
      <c r="M12" s="18">
        <v>461</v>
      </c>
      <c r="N12" s="25"/>
      <c r="O12" s="1" t="s">
        <v>57</v>
      </c>
      <c r="P12" s="12">
        <f>SUMPRODUCT(O3:O9,P3:P9)</f>
        <v>67899556.148571432</v>
      </c>
    </row>
    <row r="14" spans="1:16" x14ac:dyDescent="0.35">
      <c r="K14" s="40">
        <f>(P12/K12)/12</f>
        <v>8691.6994557823127</v>
      </c>
    </row>
  </sheetData>
  <mergeCells count="1">
    <mergeCell ref="B1:M1"/>
  </mergeCells>
  <conditionalFormatting sqref="B3:N1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Whats given </vt:lpstr>
      <vt:lpstr>Module 8 Peanut</vt:lpstr>
      <vt:lpstr>Model stipulation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Gaskin</dc:creator>
  <cp:lastModifiedBy>Jessica Gaskin</cp:lastModifiedBy>
  <dcterms:created xsi:type="dcterms:W3CDTF">2025-04-02T22:27:20Z</dcterms:created>
  <dcterms:modified xsi:type="dcterms:W3CDTF">2025-04-02T23:58:41Z</dcterms:modified>
</cp:coreProperties>
</file>